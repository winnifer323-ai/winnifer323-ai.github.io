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python\"/>
    </mc:Choice>
  </mc:AlternateContent>
  <bookViews>
    <workbookView xWindow="0" yWindow="0" windowWidth="2000" windowHeight="22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3" i="1" l="1"/>
  <c r="G43" i="1"/>
  <c r="G34" i="1"/>
  <c r="G35" i="1"/>
  <c r="G36" i="1"/>
  <c r="G37" i="1"/>
  <c r="G38" i="1"/>
  <c r="G39" i="1"/>
  <c r="G40" i="1"/>
  <c r="G41" i="1"/>
  <c r="G42" i="1"/>
  <c r="G33" i="1"/>
  <c r="G29" i="1" l="1"/>
  <c r="G30" i="1"/>
  <c r="G27" i="1"/>
  <c r="G26" i="1"/>
  <c r="G25" i="1"/>
  <c r="G24" i="1"/>
  <c r="G23" i="1"/>
  <c r="G22" i="1"/>
  <c r="G21" i="1"/>
  <c r="G20" i="1"/>
  <c r="G19" i="1"/>
  <c r="G18" i="1"/>
  <c r="G14" i="1" l="1"/>
  <c r="G4" i="1"/>
  <c r="G5" i="1"/>
  <c r="G6" i="1"/>
  <c r="G7" i="1"/>
  <c r="G8" i="1"/>
  <c r="G9" i="1"/>
  <c r="G10" i="1"/>
  <c r="G11" i="1"/>
  <c r="G12" i="1"/>
  <c r="G3" i="1"/>
</calcChain>
</file>

<file path=xl/sharedStrings.xml><?xml version="1.0" encoding="utf-8"?>
<sst xmlns="http://schemas.openxmlformats.org/spreadsheetml/2006/main" count="106" uniqueCount="71">
  <si>
    <t>訂單日期</t>
    <phoneticPr fontId="1" type="noConversion"/>
  </si>
  <si>
    <t>訂單編號</t>
    <phoneticPr fontId="1" type="noConversion"/>
  </si>
  <si>
    <t>商品名稱</t>
    <phoneticPr fontId="1" type="noConversion"/>
  </si>
  <si>
    <t>商品類別</t>
    <phoneticPr fontId="1" type="noConversion"/>
  </si>
  <si>
    <t>單價</t>
    <phoneticPr fontId="1" type="noConversion"/>
  </si>
  <si>
    <t>數量</t>
    <phoneticPr fontId="1" type="noConversion"/>
  </si>
  <si>
    <t>ORD001</t>
    <phoneticPr fontId="1" type="noConversion"/>
  </si>
  <si>
    <t>ORD002</t>
    <phoneticPr fontId="1" type="noConversion"/>
  </si>
  <si>
    <t>ORD003</t>
  </si>
  <si>
    <t>ORD004</t>
  </si>
  <si>
    <t>ORD005</t>
  </si>
  <si>
    <t>ORD006</t>
  </si>
  <si>
    <t>ORD007</t>
  </si>
  <si>
    <t>ORD008</t>
  </si>
  <si>
    <t>ORD009</t>
  </si>
  <si>
    <t>ORD010</t>
  </si>
  <si>
    <t>無線滑鼠</t>
    <phoneticPr fontId="1" type="noConversion"/>
  </si>
  <si>
    <t>機械鍵盤</t>
    <phoneticPr fontId="1" type="noConversion"/>
  </si>
  <si>
    <t>藍芽耳機</t>
    <phoneticPr fontId="1" type="noConversion"/>
  </si>
  <si>
    <t>行動電源</t>
    <phoneticPr fontId="1" type="noConversion"/>
  </si>
  <si>
    <t>USB-C傳輸線</t>
    <phoneticPr fontId="1" type="noConversion"/>
  </si>
  <si>
    <t>網路攝影機</t>
    <phoneticPr fontId="1" type="noConversion"/>
  </si>
  <si>
    <t>電競滑鼠墊</t>
    <phoneticPr fontId="1" type="noConversion"/>
  </si>
  <si>
    <t>藍芽喇叭</t>
    <phoneticPr fontId="1" type="noConversion"/>
  </si>
  <si>
    <t>筆記型電腦支架</t>
    <phoneticPr fontId="1" type="noConversion"/>
  </si>
  <si>
    <t>外接硬碟1TB</t>
    <phoneticPr fontId="1" type="noConversion"/>
  </si>
  <si>
    <t>電腦周邊</t>
    <phoneticPr fontId="1" type="noConversion"/>
  </si>
  <si>
    <t>電腦周邊</t>
    <phoneticPr fontId="1" type="noConversion"/>
  </si>
  <si>
    <t>音訊設備</t>
    <phoneticPr fontId="1" type="noConversion"/>
  </si>
  <si>
    <t>手機配件</t>
    <phoneticPr fontId="1" type="noConversion"/>
  </si>
  <si>
    <t>手機配件</t>
    <phoneticPr fontId="1" type="noConversion"/>
  </si>
  <si>
    <t>電腦周邊</t>
    <phoneticPr fontId="1" type="noConversion"/>
  </si>
  <si>
    <t>音訊設備</t>
    <phoneticPr fontId="1" type="noConversion"/>
  </si>
  <si>
    <t>辦公用品</t>
    <phoneticPr fontId="1" type="noConversion"/>
  </si>
  <si>
    <t>儲存設備</t>
    <phoneticPr fontId="1" type="noConversion"/>
  </si>
  <si>
    <t>總銷售額</t>
    <phoneticPr fontId="1" type="noConversion"/>
  </si>
  <si>
    <t>平均銷售額</t>
    <phoneticPr fontId="1" type="noConversion"/>
  </si>
  <si>
    <t>單日銷售額</t>
    <phoneticPr fontId="1" type="noConversion"/>
  </si>
  <si>
    <t>2月訂單資料</t>
    <phoneticPr fontId="1" type="noConversion"/>
  </si>
  <si>
    <t>ORD011</t>
    <phoneticPr fontId="1" type="noConversion"/>
  </si>
  <si>
    <t>ORD012</t>
    <phoneticPr fontId="1" type="noConversion"/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</si>
  <si>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</si>
  <si>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</si>
  <si>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</si>
  <si>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</si>
  <si>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</si>
  <si>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</si>
  <si>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</si>
  <si>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</si>
  <si>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無線滑鼠</t>
    <phoneticPr fontId="1" type="noConversion"/>
  </si>
  <si>
    <t>藍芽耳機</t>
    <phoneticPr fontId="1" type="noConversion"/>
  </si>
  <si>
    <t>音訊設備</t>
  </si>
  <si>
    <t>音訊設備</t>
    <phoneticPr fontId="1" type="noConversion"/>
  </si>
  <si>
    <t>行動電源</t>
    <phoneticPr fontId="1" type="noConversion"/>
  </si>
  <si>
    <t>手機配件</t>
  </si>
  <si>
    <t>手機配件</t>
    <phoneticPr fontId="1" type="noConversion"/>
  </si>
  <si>
    <t>電腦周邊</t>
  </si>
  <si>
    <t>辦公用品</t>
    <phoneticPr fontId="1" type="noConversion"/>
  </si>
  <si>
    <t>儲存設備</t>
    <phoneticPr fontId="1" type="noConversion"/>
  </si>
  <si>
    <t>1月訂單資料</t>
    <phoneticPr fontId="1" type="noConversion"/>
  </si>
  <si>
    <t>ORD021</t>
    <phoneticPr fontId="1" type="noConversion"/>
  </si>
  <si>
    <t>ORD022</t>
    <phoneticPr fontId="1" type="noConversion"/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</si>
  <si>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</si>
  <si>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</si>
  <si>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</si>
  <si>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</si>
  <si>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</si>
  <si>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</si>
  <si>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</si>
  <si>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</si>
  <si>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3月訂單資料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</si>
</sst>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;[Red]\-&quot;$&quot;#,##0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6" fontId="0" fillId="0" borderId="0" xfId="0" applyNumberFormat="1">
      <alignment vertical="center"/>
    </xf>
    <xf numFmtId="6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6" fontId="0" fillId="0" borderId="0" xfId="0" applyNumberFormat="1" applyAlignment="1">
      <alignment horizontal="right" vertical="center"/>
    </xf>
    <xf numFmtId="0" fontId="0" fillId="6" borderId="1" xfId="0" applyFill="1" applyBorder="1">
      <alignment vertical="center"/>
    </xf>
    <xf numFmtId="0" fontId="0" fillId="6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tabSelected="1" zoomScale="99" zoomScaleNormal="99" workbookViewId="0">
      <pane ySplit="1" topLeftCell="A2" activePane="bottomLeft" state="frozen"/>
      <selection pane="bottomLeft" activeCell="I3" sqref="I3"/>
    </sheetView>
  </sheetViews>
  <sheetFormatPr defaultRowHeight="17" x14ac:dyDescent="0.4"/>
  <cols>
    <col min="1" max="1" width="12.1796875" customWidth="1"/>
    <col min="2" max="2" width="10.1796875" customWidth="1"/>
    <col min="3" max="3" width="17.54296875" customWidth="1"/>
    <col min="4" max="4" width="10.54296875" customWidth="1"/>
    <col min="7" max="7" width="12.1796875" customWidth="1"/>
    <col min="8" max="8" width="3.36328125" customWidth="1"/>
    <col min="9" max="9" width="10.7265625" customWidth="1"/>
    <col min="10" max="10" width="9.81640625" customWidth="1"/>
    <col min="11" max="11" width="17" customWidth="1"/>
    <col min="12" max="12" width="9.6328125" customWidth="1"/>
    <col min="15" max="15" width="12.54296875" customWidth="1"/>
  </cols>
  <sheetData>
    <row r="1" spans="1:15" x14ac:dyDescent="0.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37</v>
      </c>
      <c r="H1" s="7"/>
      <c r="I1" s="8"/>
      <c r="J1" s="8"/>
      <c r="K1" s="8"/>
      <c r="L1" s="8"/>
      <c r="M1" s="8"/>
      <c r="N1" s="8"/>
      <c r="O1" s="8"/>
    </row>
    <row r="2" spans="1:15" x14ac:dyDescent="0.4">
      <c r="A2" s="9" t="s">
        <v>59</v>
      </c>
      <c r="B2" s="9"/>
      <c r="C2" s="9"/>
      <c r="D2" s="9"/>
      <c r="E2" s="9"/>
      <c r="F2" s="9"/>
      <c r="G2" s="9"/>
    </row>
    <row r="3" spans="1:15" x14ac:dyDescent="0.4">
      <c r="A3" s="2">
        <v>46023</v>
      </c>
      <c r="B3" s="1" t="s">
        <v>6</v>
      </c>
      <c r="C3" s="1" t="s">
        <v>16</v>
      </c>
      <c r="D3" s="1" t="s">
        <v>26</v>
      </c>
      <c r="E3" s="6">
        <v>599</v>
      </c>
      <c r="F3" s="1">
        <v>2</v>
      </c>
      <c r="G3" s="4">
        <f>E3*F3</f>
        <v>1198</v>
      </c>
    </row>
    <row r="4" spans="1:15" x14ac:dyDescent="0.4">
      <c r="A4" s="2">
        <v>46024</v>
      </c>
      <c r="B4" s="1" t="s">
        <v>7</v>
      </c>
      <c r="C4" s="1" t="s">
        <v>17</v>
      </c>
      <c r="D4" s="1" t="s">
        <v>27</v>
      </c>
      <c r="E4" s="6">
        <v>1890</v>
      </c>
      <c r="F4" s="1">
        <v>1</v>
      </c>
      <c r="G4" s="4">
        <f t="shared" ref="G4:G12" si="0">E4*F4</f>
        <v>1890</v>
      </c>
    </row>
    <row r="5" spans="1:15" x14ac:dyDescent="0.4">
      <c r="A5" s="2">
        <v>46025</v>
      </c>
      <c r="B5" s="1" t="s">
        <v>8</v>
      </c>
      <c r="C5" s="1" t="s">
        <v>18</v>
      </c>
      <c r="D5" s="1" t="s">
        <v>28</v>
      </c>
      <c r="E5" s="6">
        <v>1290</v>
      </c>
      <c r="F5" s="1">
        <v>2</v>
      </c>
      <c r="G5" s="4">
        <f t="shared" si="0"/>
        <v>2580</v>
      </c>
    </row>
    <row r="6" spans="1:15" x14ac:dyDescent="0.4">
      <c r="A6" s="2">
        <v>46026</v>
      </c>
      <c r="B6" s="1" t="s">
        <v>9</v>
      </c>
      <c r="C6" s="1" t="s">
        <v>19</v>
      </c>
      <c r="D6" s="1" t="s">
        <v>29</v>
      </c>
      <c r="E6" s="6">
        <v>890</v>
      </c>
      <c r="F6" s="1">
        <v>3</v>
      </c>
      <c r="G6" s="4">
        <f t="shared" si="0"/>
        <v>2670</v>
      </c>
    </row>
    <row r="7" spans="1:15" x14ac:dyDescent="0.4">
      <c r="A7" s="2">
        <v>46027</v>
      </c>
      <c r="B7" s="1" t="s">
        <v>10</v>
      </c>
      <c r="C7" s="1" t="s">
        <v>20</v>
      </c>
      <c r="D7" s="1" t="s">
        <v>30</v>
      </c>
      <c r="E7" s="6">
        <v>290</v>
      </c>
      <c r="F7" s="1">
        <v>5</v>
      </c>
      <c r="G7" s="4">
        <f t="shared" si="0"/>
        <v>1450</v>
      </c>
    </row>
    <row r="8" spans="1:15" x14ac:dyDescent="0.4">
      <c r="A8" s="2">
        <v>46028</v>
      </c>
      <c r="B8" s="1" t="s">
        <v>11</v>
      </c>
      <c r="C8" s="1" t="s">
        <v>21</v>
      </c>
      <c r="D8" s="1" t="s">
        <v>31</v>
      </c>
      <c r="E8" s="6">
        <v>1490</v>
      </c>
      <c r="F8" s="1">
        <v>1</v>
      </c>
      <c r="G8" s="4">
        <f t="shared" si="0"/>
        <v>1490</v>
      </c>
    </row>
    <row r="9" spans="1:15" x14ac:dyDescent="0.4">
      <c r="A9" s="2">
        <v>46029</v>
      </c>
      <c r="B9" s="1" t="s">
        <v>12</v>
      </c>
      <c r="C9" s="1" t="s">
        <v>22</v>
      </c>
      <c r="D9" s="1" t="s">
        <v>26</v>
      </c>
      <c r="E9" s="6">
        <v>450</v>
      </c>
      <c r="F9" s="1">
        <v>4</v>
      </c>
      <c r="G9" s="4">
        <f t="shared" si="0"/>
        <v>1800</v>
      </c>
    </row>
    <row r="10" spans="1:15" x14ac:dyDescent="0.4">
      <c r="A10" s="2">
        <v>46030</v>
      </c>
      <c r="B10" s="1" t="s">
        <v>13</v>
      </c>
      <c r="C10" s="1" t="s">
        <v>23</v>
      </c>
      <c r="D10" s="1" t="s">
        <v>32</v>
      </c>
      <c r="E10" s="6">
        <v>1690</v>
      </c>
      <c r="F10" s="1">
        <v>2</v>
      </c>
      <c r="G10" s="4">
        <f t="shared" si="0"/>
        <v>3380</v>
      </c>
    </row>
    <row r="11" spans="1:15" x14ac:dyDescent="0.4">
      <c r="A11" s="2">
        <v>46031</v>
      </c>
      <c r="B11" s="1" t="s">
        <v>14</v>
      </c>
      <c r="C11" s="1" t="s">
        <v>24</v>
      </c>
      <c r="D11" s="1" t="s">
        <v>33</v>
      </c>
      <c r="E11" s="6">
        <v>790</v>
      </c>
      <c r="F11" s="1">
        <v>3</v>
      </c>
      <c r="G11" s="4">
        <f t="shared" si="0"/>
        <v>2370</v>
      </c>
    </row>
    <row r="12" spans="1:15" x14ac:dyDescent="0.4">
      <c r="A12" s="2">
        <v>46032</v>
      </c>
      <c r="B12" s="1" t="s">
        <v>15</v>
      </c>
      <c r="C12" s="1" t="s">
        <v>25</v>
      </c>
      <c r="D12" s="1" t="s">
        <v>34</v>
      </c>
      <c r="E12" s="6">
        <v>2490</v>
      </c>
      <c r="F12" s="1">
        <v>1</v>
      </c>
      <c r="G12" s="4">
        <f t="shared" si="0"/>
        <v>2490</v>
      </c>
    </row>
    <row r="13" spans="1:15" x14ac:dyDescent="0.4">
      <c r="E13" s="3"/>
    </row>
    <row r="14" spans="1:15" x14ac:dyDescent="0.4">
      <c r="A14" s="1" t="s">
        <v>35</v>
      </c>
      <c r="E14" s="3"/>
      <c r="F14">
        <v>24</v>
      </c>
      <c r="G14" s="3">
        <f>SUM(G3:G12)</f>
        <v>21318</v>
      </c>
    </row>
    <row r="15" spans="1:15" x14ac:dyDescent="0.4">
      <c r="A15" s="1" t="s">
        <v>36</v>
      </c>
      <c r="E15" s="3"/>
      <c r="F15">
        <v>2.4</v>
      </c>
      <c r="G15" s="3">
        <v>2131.8000000000002</v>
      </c>
    </row>
    <row r="17" spans="1:15" x14ac:dyDescent="0.4">
      <c r="A17" s="10" t="s">
        <v>38</v>
      </c>
      <c r="B17" s="10"/>
      <c r="C17" s="10"/>
      <c r="D17" s="10"/>
      <c r="E17" s="10"/>
      <c r="F17" s="10"/>
      <c r="G17" s="10"/>
      <c r="O17" s="3"/>
    </row>
    <row r="18" spans="1:15" x14ac:dyDescent="0.4">
      <c r="A18" s="2">
        <v>46054</v>
      </c>
      <c r="B18" s="1" t="s">
        <v>39</v>
      </c>
      <c r="C18" s="1" t="s">
        <v>49</v>
      </c>
      <c r="D18" s="1" t="s">
        <v>26</v>
      </c>
      <c r="E18" s="6">
        <v>599</v>
      </c>
      <c r="F18" s="1">
        <v>3</v>
      </c>
      <c r="G18" s="4">
        <f t="shared" ref="G18:G27" si="1">E18*F18</f>
        <v>1797</v>
      </c>
      <c r="O18" s="3"/>
    </row>
    <row r="19" spans="1:15" x14ac:dyDescent="0.4">
      <c r="A19" s="2">
        <v>46055</v>
      </c>
      <c r="B19" s="1" t="s">
        <v>40</v>
      </c>
      <c r="C19" s="1" t="s">
        <v>50</v>
      </c>
      <c r="D19" t="s">
        <v>52</v>
      </c>
      <c r="E19" s="6">
        <v>1290</v>
      </c>
      <c r="F19" s="1">
        <v>1</v>
      </c>
      <c r="G19" s="4">
        <f t="shared" si="1"/>
        <v>1290</v>
      </c>
      <c r="O19" s="3"/>
    </row>
    <row r="20" spans="1:15" x14ac:dyDescent="0.4">
      <c r="A20" s="2">
        <v>46056</v>
      </c>
      <c r="B20" s="1" t="s">
        <v>41</v>
      </c>
      <c r="C20" s="1" t="s">
        <v>53</v>
      </c>
      <c r="D20" t="s">
        <v>55</v>
      </c>
      <c r="E20" s="6">
        <v>890</v>
      </c>
      <c r="F20" s="1">
        <v>4</v>
      </c>
      <c r="G20" s="4">
        <f t="shared" si="1"/>
        <v>3560</v>
      </c>
      <c r="O20" s="3"/>
    </row>
    <row r="21" spans="1:15" x14ac:dyDescent="0.4">
      <c r="A21" s="2">
        <v>46057</v>
      </c>
      <c r="B21" s="1" t="s">
        <v>42</v>
      </c>
      <c r="C21" s="1" t="s">
        <v>22</v>
      </c>
      <c r="D21" t="s">
        <v>56</v>
      </c>
      <c r="E21" s="6">
        <v>450</v>
      </c>
      <c r="F21" s="1">
        <v>2</v>
      </c>
      <c r="G21" s="4">
        <f t="shared" si="1"/>
        <v>900</v>
      </c>
      <c r="O21" s="3"/>
    </row>
    <row r="22" spans="1:15" x14ac:dyDescent="0.4">
      <c r="A22" s="2">
        <v>46058</v>
      </c>
      <c r="B22" s="1" t="s">
        <v>43</v>
      </c>
      <c r="C22" s="1" t="s">
        <v>24</v>
      </c>
      <c r="D22" t="s">
        <v>57</v>
      </c>
      <c r="E22" s="6">
        <v>790</v>
      </c>
      <c r="F22" s="1">
        <v>2</v>
      </c>
      <c r="G22" s="4">
        <f t="shared" si="1"/>
        <v>1580</v>
      </c>
      <c r="O22" s="3"/>
    </row>
    <row r="23" spans="1:15" x14ac:dyDescent="0.4">
      <c r="A23" s="2">
        <v>46059</v>
      </c>
      <c r="B23" s="1" t="s">
        <v>44</v>
      </c>
      <c r="C23" s="1" t="s">
        <v>25</v>
      </c>
      <c r="D23" t="s">
        <v>58</v>
      </c>
      <c r="E23" s="6">
        <v>2490</v>
      </c>
      <c r="F23" s="1">
        <v>1</v>
      </c>
      <c r="G23" s="4">
        <f t="shared" si="1"/>
        <v>2490</v>
      </c>
      <c r="O23" s="3"/>
    </row>
    <row r="24" spans="1:15" x14ac:dyDescent="0.4">
      <c r="A24" s="2">
        <v>46060</v>
      </c>
      <c r="B24" s="1" t="s">
        <v>45</v>
      </c>
      <c r="C24" s="1" t="s">
        <v>17</v>
      </c>
      <c r="D24" t="s">
        <v>56</v>
      </c>
      <c r="E24" s="6">
        <v>1890</v>
      </c>
      <c r="F24" s="1">
        <v>2</v>
      </c>
      <c r="G24" s="4">
        <f t="shared" si="1"/>
        <v>3780</v>
      </c>
      <c r="O24" s="3"/>
    </row>
    <row r="25" spans="1:15" x14ac:dyDescent="0.4">
      <c r="A25" s="2">
        <v>46061</v>
      </c>
      <c r="B25" s="1" t="s">
        <v>46</v>
      </c>
      <c r="C25" s="1" t="s">
        <v>20</v>
      </c>
      <c r="D25" t="s">
        <v>54</v>
      </c>
      <c r="E25" s="6">
        <v>290</v>
      </c>
      <c r="F25" s="1">
        <v>6</v>
      </c>
      <c r="G25" s="4">
        <f t="shared" si="1"/>
        <v>1740</v>
      </c>
      <c r="O25" s="3"/>
    </row>
    <row r="26" spans="1:15" x14ac:dyDescent="0.4">
      <c r="A26" s="2">
        <v>46062</v>
      </c>
      <c r="B26" s="1" t="s">
        <v>47</v>
      </c>
      <c r="C26" s="1" t="s">
        <v>23</v>
      </c>
      <c r="D26" t="s">
        <v>51</v>
      </c>
      <c r="E26" s="6">
        <v>1690</v>
      </c>
      <c r="F26" s="1">
        <v>1</v>
      </c>
      <c r="G26" s="4">
        <f t="shared" si="1"/>
        <v>1690</v>
      </c>
      <c r="O26" s="3"/>
    </row>
    <row r="27" spans="1:15" x14ac:dyDescent="0.4">
      <c r="A27" s="2">
        <v>46063</v>
      </c>
      <c r="B27" s="1" t="s">
        <v>48</v>
      </c>
      <c r="C27" s="1" t="s">
        <v>21</v>
      </c>
      <c r="D27" t="s">
        <v>56</v>
      </c>
      <c r="E27" s="6">
        <v>1490</v>
      </c>
      <c r="F27" s="1">
        <v>3</v>
      </c>
      <c r="G27" s="4">
        <f t="shared" si="1"/>
        <v>4470</v>
      </c>
      <c r="O27" s="3"/>
    </row>
    <row r="28" spans="1:15" x14ac:dyDescent="0.4">
      <c r="O28" s="3"/>
    </row>
    <row r="29" spans="1:15" x14ac:dyDescent="0.4">
      <c r="A29" s="1" t="s">
        <v>35</v>
      </c>
      <c r="G29" s="3">
        <f>SUM(G18:G27)</f>
        <v>23297</v>
      </c>
    </row>
    <row r="30" spans="1:15" x14ac:dyDescent="0.4">
      <c r="A30" s="1" t="s">
        <v>36</v>
      </c>
      <c r="G30" s="3">
        <f>AVERAGE(G18:G27)</f>
        <v>2329.6999999999998</v>
      </c>
    </row>
    <row r="32" spans="1:15" x14ac:dyDescent="0.4">
      <c r="A32" s="11" t="s">
        <v>70</v>
      </c>
      <c r="B32" s="11"/>
      <c r="C32" s="11"/>
      <c r="D32" s="11"/>
      <c r="E32" s="11"/>
      <c r="F32" s="11"/>
      <c r="G32" s="11"/>
    </row>
    <row r="33" spans="1:7" x14ac:dyDescent="0.4">
      <c r="A33" s="2">
        <v>46082</v>
      </c>
      <c r="B33" s="1" t="s">
        <v>60</v>
      </c>
      <c r="C33" s="1" t="s">
        <v>17</v>
      </c>
      <c r="D33" s="1" t="s">
        <v>26</v>
      </c>
      <c r="E33" s="6">
        <v>1890</v>
      </c>
      <c r="F33" s="1">
        <v>2</v>
      </c>
      <c r="G33" s="3">
        <f>E33*F33</f>
        <v>3780</v>
      </c>
    </row>
    <row r="34" spans="1:7" x14ac:dyDescent="0.4">
      <c r="A34" s="2">
        <v>46083</v>
      </c>
      <c r="B34" s="1" t="s">
        <v>61</v>
      </c>
      <c r="C34" s="1" t="s">
        <v>16</v>
      </c>
      <c r="D34" s="1" t="s">
        <v>56</v>
      </c>
      <c r="E34" s="6">
        <v>599</v>
      </c>
      <c r="F34" s="1">
        <v>4</v>
      </c>
      <c r="G34" s="3">
        <f t="shared" ref="G34:G42" si="2">E34*F34</f>
        <v>2396</v>
      </c>
    </row>
    <row r="35" spans="1:7" x14ac:dyDescent="0.4">
      <c r="A35" s="2">
        <v>46084</v>
      </c>
      <c r="B35" s="1" t="s">
        <v>62</v>
      </c>
      <c r="C35" s="1" t="s">
        <v>18</v>
      </c>
      <c r="D35" s="1" t="s">
        <v>28</v>
      </c>
      <c r="E35" s="6">
        <v>1290</v>
      </c>
      <c r="F35" s="1">
        <v>3</v>
      </c>
      <c r="G35" s="3">
        <f t="shared" si="2"/>
        <v>3870</v>
      </c>
    </row>
    <row r="36" spans="1:7" x14ac:dyDescent="0.4">
      <c r="A36" s="2">
        <v>46085</v>
      </c>
      <c r="B36" s="1" t="s">
        <v>63</v>
      </c>
      <c r="C36" s="1" t="s">
        <v>25</v>
      </c>
      <c r="D36" s="1" t="s">
        <v>34</v>
      </c>
      <c r="E36" s="6">
        <v>2490</v>
      </c>
      <c r="F36" s="1">
        <v>2</v>
      </c>
      <c r="G36" s="3">
        <f t="shared" si="2"/>
        <v>4980</v>
      </c>
    </row>
    <row r="37" spans="1:7" x14ac:dyDescent="0.4">
      <c r="A37" s="2">
        <v>46086</v>
      </c>
      <c r="B37" s="1" t="s">
        <v>64</v>
      </c>
      <c r="C37" s="1" t="s">
        <v>24</v>
      </c>
      <c r="D37" s="1" t="s">
        <v>33</v>
      </c>
      <c r="E37" s="6">
        <v>790</v>
      </c>
      <c r="F37" s="1">
        <v>5</v>
      </c>
      <c r="G37" s="3">
        <f t="shared" si="2"/>
        <v>3950</v>
      </c>
    </row>
    <row r="38" spans="1:7" x14ac:dyDescent="0.4">
      <c r="A38" s="2">
        <v>46087</v>
      </c>
      <c r="B38" s="1" t="s">
        <v>65</v>
      </c>
      <c r="C38" s="1" t="s">
        <v>20</v>
      </c>
      <c r="D38" s="1" t="s">
        <v>54</v>
      </c>
      <c r="E38" s="6">
        <v>290</v>
      </c>
      <c r="F38" s="1">
        <v>8</v>
      </c>
      <c r="G38" s="3">
        <f t="shared" si="2"/>
        <v>2320</v>
      </c>
    </row>
    <row r="39" spans="1:7" x14ac:dyDescent="0.4">
      <c r="A39" s="2">
        <v>46088</v>
      </c>
      <c r="B39" s="1" t="s">
        <v>66</v>
      </c>
      <c r="C39" s="1" t="s">
        <v>19</v>
      </c>
      <c r="D39" s="1" t="s">
        <v>29</v>
      </c>
      <c r="E39" s="6">
        <v>890</v>
      </c>
      <c r="F39" s="1">
        <v>4</v>
      </c>
      <c r="G39" s="3">
        <f t="shared" si="2"/>
        <v>3560</v>
      </c>
    </row>
    <row r="40" spans="1:7" x14ac:dyDescent="0.4">
      <c r="A40" s="2">
        <v>46089</v>
      </c>
      <c r="B40" s="1" t="s">
        <v>67</v>
      </c>
      <c r="C40" s="1" t="s">
        <v>22</v>
      </c>
      <c r="D40" s="1" t="s">
        <v>56</v>
      </c>
      <c r="E40" s="6">
        <v>450</v>
      </c>
      <c r="F40" s="1">
        <v>6</v>
      </c>
      <c r="G40" s="3">
        <f t="shared" si="2"/>
        <v>2700</v>
      </c>
    </row>
    <row r="41" spans="1:7" x14ac:dyDescent="0.4">
      <c r="A41" s="2">
        <v>46090</v>
      </c>
      <c r="B41" s="1" t="s">
        <v>68</v>
      </c>
      <c r="C41" s="1" t="s">
        <v>23</v>
      </c>
      <c r="D41" s="1" t="s">
        <v>51</v>
      </c>
      <c r="E41" s="6">
        <v>1690</v>
      </c>
      <c r="F41" s="1">
        <v>3</v>
      </c>
      <c r="G41" s="3">
        <f t="shared" si="2"/>
        <v>5070</v>
      </c>
    </row>
    <row r="42" spans="1:7" x14ac:dyDescent="0.4">
      <c r="A42" s="2">
        <v>46091</v>
      </c>
      <c r="B42" s="1" t="s">
        <v>69</v>
      </c>
      <c r="C42" s="1" t="s">
        <v>21</v>
      </c>
      <c r="D42" s="1" t="s">
        <v>56</v>
      </c>
      <c r="E42" s="6">
        <v>1490</v>
      </c>
      <c r="F42" s="1">
        <v>2</v>
      </c>
      <c r="G42" s="3">
        <f t="shared" si="2"/>
        <v>2980</v>
      </c>
    </row>
    <row r="43" spans="1:7" x14ac:dyDescent="0.4">
      <c r="A43" s="1" t="s">
        <v>35</v>
      </c>
      <c r="F43">
        <f>SUM(F33:F42)</f>
        <v>39</v>
      </c>
      <c r="G43" s="3">
        <f>SUM(G33:G42)</f>
        <v>35606</v>
      </c>
    </row>
    <row r="44" spans="1:7" x14ac:dyDescent="0.4">
      <c r="A44" s="1" t="s">
        <v>36</v>
      </c>
      <c r="G44" s="3">
        <v>3560</v>
      </c>
    </row>
  </sheetData>
  <mergeCells count="3">
    <mergeCell ref="A2:G2"/>
    <mergeCell ref="A17:G17"/>
    <mergeCell ref="A32:G3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2026-06-14T13:35:24Z</dcterms:created>
  <dcterms:modified xsi:type="dcterms:W3CDTF">2026-06-15T08:13:32Z</dcterms:modified>
</cp:coreProperties>
</file>